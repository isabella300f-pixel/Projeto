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<sst xmlns="http://schemas.openxmlformats.org/spreadsheetml/2006/main" count="66" uniqueCount="65">
  <si>
    <t>Indicador</t>
  </si>
  <si>
    <t>18/08 a 24/08</t>
  </si>
  <si>
    <t>25/08 a 31/08</t>
  </si>
  <si>
    <t>01/09 a 07/09</t>
  </si>
  <si>
    <t>08/09 a 14/09</t>
  </si>
  <si>
    <t>15/09 a 21/09</t>
  </si>
  <si>
    <t>22/09 a 28/09</t>
  </si>
  <si>
    <t>29/09 a 05/10</t>
  </si>
  <si>
    <t>06/10 a 12/10</t>
  </si>
  <si>
    <t>13/10 a 19/10</t>
  </si>
  <si>
    <t>20/10 a 26/10</t>
  </si>
  <si>
    <t>27/10 a 02/11</t>
  </si>
  <si>
    <t>03/11 a 09/11</t>
  </si>
  <si>
    <t>10/11 a 16/11</t>
  </si>
  <si>
    <t>17/11 a 23/11</t>
  </si>
  <si>
    <t>24/11 a 30/11</t>
  </si>
  <si>
    <t>01/12 a 07/12</t>
  </si>
  <si>
    <t>08/12 a 14/12</t>
  </si>
  <si>
    <t>15/12 a 21/12</t>
  </si>
  <si>
    <t>22/12 a 28/12</t>
  </si>
  <si>
    <t>05/01 A 11/01</t>
  </si>
  <si>
    <t>12/01 A 18/01</t>
  </si>
  <si>
    <t>19/01 A 25/01</t>
  </si>
  <si>
    <t>26/01 a 01/02</t>
  </si>
  <si>
    <t>PA semanal realizado</t>
  </si>
  <si>
    <t>PA acumulado no mês</t>
  </si>
  <si>
    <t>PA acumulado no ano</t>
  </si>
  <si>
    <t>Meta de PA semanal necessária</t>
  </si>
  <si>
    <t>% Meta de PA Realizada da Semana</t>
  </si>
  <si>
    <t>% Meta de PA Realizada do Ano</t>
  </si>
  <si>
    <t>PA Emitido na semana</t>
  </si>
  <si>
    <t>Apólices emitidas (por semana)</t>
  </si>
  <si>
    <t xml:space="preserve">Meta de N semanal </t>
  </si>
  <si>
    <t>N da Semana</t>
  </si>
  <si>
    <t>N Acumulados do Mes</t>
  </si>
  <si>
    <t>N Acumulados do Ano</t>
  </si>
  <si>
    <t>% Meta de N Realizada da Semana</t>
  </si>
  <si>
    <t>% Meta de N Realizada do Ano</t>
  </si>
  <si>
    <t>Meta OIs Agendadas</t>
  </si>
  <si>
    <t>OIs agendadas</t>
  </si>
  <si>
    <t>OIs realizadas na semana</t>
  </si>
  <si>
    <t>Meta RECS</t>
  </si>
  <si>
    <t>Novas RECS</t>
  </si>
  <si>
    <t>Meta de PCs/C2 agendados</t>
  </si>
  <si>
    <t>PCs realizados na semana</t>
  </si>
  <si>
    <t>Quantidade de C2 realizados na semana</t>
  </si>
  <si>
    <t>Apólice em atraso (nº)</t>
  </si>
  <si>
    <t>Premio em atraso de clientes (R$)</t>
  </si>
  <si>
    <t>Taxa de inadimplência (%) Geral</t>
  </si>
  <si>
    <t>Taxa de inadimplência (%) Assistente</t>
  </si>
  <si>
    <t>Meta revisitas agendadas</t>
  </si>
  <si>
    <t>Revisitas Agendadas na semana</t>
  </si>
  <si>
    <t xml:space="preserve">Revisitas realizadas na semana </t>
  </si>
  <si>
    <t>Volume de tarefas concluídas no Trello</t>
  </si>
  <si>
    <t>Número de vídeos de treinamento gravados</t>
  </si>
  <si>
    <t>Delivery Apólices</t>
  </si>
  <si>
    <t>Total de reuniões realizadas na semana</t>
  </si>
  <si>
    <t>Lista de Atrasos - atribuídos Raiza</t>
  </si>
  <si>
    <t>Pedidos de cancelamento</t>
  </si>
  <si>
    <t>Cancelamentos Revertidos</t>
  </si>
  <si>
    <t>PA emitido até 08/08</t>
  </si>
  <si>
    <t>Meta de PA Anual</t>
  </si>
  <si>
    <t>Meta de N Anual</t>
  </si>
  <si>
    <t>PA Médio</t>
  </si>
  <si>
    <t>Total de apólices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</si>
</sst>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_([$R$ -416]* #,##0.00_);_([$R$ -416]* \(#,##0.00\);_([$R$ -416]* &quot;-&quot;??_);_(@_)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2" fontId="3" numFmtId="0" xfId="0" applyFont="1"/>
    <xf borderId="0" fillId="0" fontId="2" numFmtId="10" xfId="0" applyAlignment="1" applyFont="1" applyNumberFormat="1">
      <alignment readingOrder="0"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3" numFmtId="10" xfId="0" applyFont="1" applyNumberFormat="1"/>
    <xf borderId="0" fillId="0" fontId="2" numFmtId="1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2" fontId="4" numFmtId="0" xfId="0" applyAlignment="1" applyFont="1">
      <alignment readingOrder="0" vertical="bottom"/>
    </xf>
    <xf borderId="0" fillId="2" fontId="4" numFmtId="1" xfId="0" applyAlignment="1" applyFont="1" applyNumberFormat="1">
      <alignment horizontal="right" readingOrder="0" vertical="bottom"/>
    </xf>
    <xf borderId="0" fillId="2" fontId="5" numFmtId="0" xfId="0" applyAlignment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4" numFmtId="10" xfId="0" applyAlignment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0" fillId="4" fontId="4" numFmtId="0" xfId="0" applyAlignment="1" applyFill="1" applyFont="1">
      <alignment readingOrder="0" vertical="bottom"/>
    </xf>
    <xf borderId="0" fillId="4" fontId="4" numFmtId="10" xfId="0" applyAlignment="1" applyFont="1" applyNumberFormat="1">
      <alignment horizontal="right" vertical="bottom"/>
    </xf>
    <xf borderId="0" fillId="2" fontId="2" numFmtId="1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Página1-style">
      <tableStyleElement dxfId="1" type="headerRow"/>
      <tableStyleElement dxfId="2" type="firstRowStripe"/>
      <tableStyleElement dxfId="3" type="secondRowStripe"/>
    </tableStyle>
    <tableStyle count="2" pivot="0" name="Página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38" displayName="Table_1" name="Table_1" id="1">
  <tableColumns count="24">
    <tableColumn name="Indicador" id="1"/>
    <tableColumn name="18/08 a 24/08" id="2"/>
    <tableColumn name="25/08 a 31/08" id="3"/>
    <tableColumn name="01/09 a 07/09" id="4"/>
    <tableColumn name="08/09 a 14/09" id="5"/>
    <tableColumn name="15/09 a 21/09" id="6"/>
    <tableColumn name="22/09 a 28/09" id="7"/>
    <tableColumn name="29/09 a 05/10" id="8"/>
    <tableColumn name="06/10 a 12/10" id="9"/>
    <tableColumn name="13/10 a 19/10" id="10"/>
    <tableColumn name="20/10 a 26/10" id="11"/>
    <tableColumn name="27/10 a 02/11" id="12"/>
    <tableColumn name="03/11 a 09/11" id="13"/>
    <tableColumn name="10/11 a 16/11" id="14"/>
    <tableColumn name="17/11 a 23/11" id="15"/>
    <tableColumn name="24/11 a 30/11" id="16"/>
    <tableColumn name="01/12 a 07/12" id="17"/>
    <tableColumn name="08/12 a 14/12" id="18"/>
    <tableColumn name="15/12 a 21/12" id="19"/>
    <tableColumn name="22/12 a 28/12" id="20"/>
    <tableColumn name="05/01 A 11/01" id="21"/>
    <tableColumn name="12/01 A 18/01" id="22"/>
    <tableColumn name="19/01 A 25/01" id="23"/>
    <tableColumn name="26/01 a 01/02" id="24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A44:X44" displayName="Table_2" name="Table_2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5"/>
    <col customWidth="1" min="2" max="18" width="16.25"/>
    <col customWidth="1" min="19" max="19" width="15.25"/>
    <col customWidth="1" min="20" max="20" width="16.25"/>
    <col customWidth="1" min="21" max="21" width="16.88"/>
    <col customWidth="1" min="22" max="22" width="15.38"/>
    <col customWidth="1" min="23" max="23" width="16.13"/>
    <col customWidth="1" min="24" max="2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>
        <v>114668.5</v>
      </c>
      <c r="C2" s="3">
        <v>96714.6</v>
      </c>
      <c r="D2" s="3">
        <v>116834.0</v>
      </c>
      <c r="E2" s="4">
        <f>282258.75-75000</f>
        <v>207258.75</v>
      </c>
      <c r="F2" s="4">
        <v>57737.0</v>
      </c>
      <c r="G2" s="4">
        <v>104811.54</v>
      </c>
      <c r="H2" s="4">
        <v>137590.0</v>
      </c>
      <c r="I2" s="4">
        <v>116592.06</v>
      </c>
      <c r="J2" s="4">
        <v>45103.02</v>
      </c>
      <c r="K2" s="4">
        <v>96176.47</v>
      </c>
      <c r="L2" s="4">
        <v>82862.16</v>
      </c>
      <c r="M2" s="4">
        <v>68697.06</v>
      </c>
      <c r="N2" s="4">
        <v>125186.52</v>
      </c>
      <c r="O2" s="4">
        <v>45856.0</v>
      </c>
      <c r="P2" s="4">
        <v>242515.0</v>
      </c>
      <c r="Q2" s="4">
        <v>0.0</v>
      </c>
      <c r="R2" s="4">
        <v>220203.0</v>
      </c>
      <c r="S2" s="4"/>
      <c r="T2" s="4">
        <v>0.0</v>
      </c>
      <c r="U2" s="4">
        <v>0.0</v>
      </c>
      <c r="V2" s="4">
        <v>97668.72</v>
      </c>
      <c r="W2" s="4">
        <v>43811.91</v>
      </c>
      <c r="X2" s="5"/>
    </row>
    <row r="3">
      <c r="A3" s="2" t="s">
        <v>25</v>
      </c>
      <c r="B3" s="3">
        <f>B2</f>
        <v>114668.5</v>
      </c>
      <c r="C3" s="3">
        <f>B2+C2</f>
        <v>211383.1</v>
      </c>
      <c r="D3" s="3">
        <f>D2</f>
        <v>116834</v>
      </c>
      <c r="E3" s="6">
        <f>D2+E2</f>
        <v>324092.75</v>
      </c>
      <c r="F3" s="6">
        <f t="shared" ref="F3:L3" si="1">E3+F2</f>
        <v>381829.75</v>
      </c>
      <c r="G3" s="5">
        <f t="shared" si="1"/>
        <v>486641.29</v>
      </c>
      <c r="H3" s="5">
        <f t="shared" si="1"/>
        <v>624231.29</v>
      </c>
      <c r="I3" s="5">
        <f t="shared" si="1"/>
        <v>740823.35</v>
      </c>
      <c r="J3" s="5">
        <f t="shared" si="1"/>
        <v>785926.37</v>
      </c>
      <c r="K3" s="5">
        <f t="shared" si="1"/>
        <v>882102.84</v>
      </c>
      <c r="L3" s="5">
        <f t="shared" si="1"/>
        <v>964965</v>
      </c>
      <c r="M3" s="5">
        <f>M2</f>
        <v>68697.06</v>
      </c>
      <c r="N3" s="5">
        <f t="shared" ref="N3:P3" si="2">N2+M3</f>
        <v>193883.58</v>
      </c>
      <c r="O3" s="5">
        <f t="shared" si="2"/>
        <v>239739.58</v>
      </c>
      <c r="P3" s="5">
        <f t="shared" si="2"/>
        <v>482254.58</v>
      </c>
      <c r="Q3" s="4">
        <v>0.0</v>
      </c>
      <c r="R3" s="5">
        <f>R2+Q3</f>
        <v>220203</v>
      </c>
      <c r="S3" s="5">
        <f>R3+S2</f>
        <v>220203</v>
      </c>
      <c r="T3" s="5">
        <f t="shared" ref="T3:T4" si="4">S3</f>
        <v>220203</v>
      </c>
      <c r="U3" s="4">
        <v>0.0</v>
      </c>
      <c r="V3" s="5">
        <f>V2</f>
        <v>97668.72</v>
      </c>
      <c r="W3" s="5">
        <f>V2+W2</f>
        <v>141480.63</v>
      </c>
      <c r="X3" s="5"/>
    </row>
    <row r="4">
      <c r="A4" s="2" t="s">
        <v>26</v>
      </c>
      <c r="B4" s="3">
        <f>B39+B2</f>
        <v>1455668.5</v>
      </c>
      <c r="C4" s="3">
        <f t="shared" ref="C4:S4" si="3">B4+C2</f>
        <v>1552383.1</v>
      </c>
      <c r="D4" s="3">
        <f t="shared" si="3"/>
        <v>1669217.1</v>
      </c>
      <c r="E4" s="6">
        <f t="shared" si="3"/>
        <v>1876475.85</v>
      </c>
      <c r="F4" s="6">
        <f t="shared" si="3"/>
        <v>1934212.85</v>
      </c>
      <c r="G4" s="5">
        <f t="shared" si="3"/>
        <v>2039024.39</v>
      </c>
      <c r="H4" s="5">
        <f t="shared" si="3"/>
        <v>2176614.39</v>
      </c>
      <c r="I4" s="5">
        <f t="shared" si="3"/>
        <v>2293206.45</v>
      </c>
      <c r="J4" s="5">
        <f t="shared" si="3"/>
        <v>2338309.47</v>
      </c>
      <c r="K4" s="5">
        <f t="shared" si="3"/>
        <v>2434485.94</v>
      </c>
      <c r="L4" s="5">
        <f t="shared" si="3"/>
        <v>2517348.1</v>
      </c>
      <c r="M4" s="5">
        <f t="shared" si="3"/>
        <v>2586045.16</v>
      </c>
      <c r="N4" s="5">
        <f t="shared" si="3"/>
        <v>2711231.68</v>
      </c>
      <c r="O4" s="5">
        <f t="shared" si="3"/>
        <v>2757087.68</v>
      </c>
      <c r="P4" s="5">
        <f t="shared" si="3"/>
        <v>2999602.68</v>
      </c>
      <c r="Q4" s="5">
        <f t="shared" si="3"/>
        <v>2999602.68</v>
      </c>
      <c r="R4" s="5">
        <f t="shared" si="3"/>
        <v>3219805.68</v>
      </c>
      <c r="S4" s="5">
        <f t="shared" si="3"/>
        <v>3219805.68</v>
      </c>
      <c r="T4" s="5">
        <f t="shared" si="4"/>
        <v>3219805.68</v>
      </c>
      <c r="U4" s="4">
        <f t="shared" ref="U4:W4" si="5">T4+U2</f>
        <v>3219805.68</v>
      </c>
      <c r="V4" s="5">
        <f t="shared" si="5"/>
        <v>3317474.4</v>
      </c>
      <c r="W4" s="5">
        <f t="shared" si="5"/>
        <v>3361286.31</v>
      </c>
      <c r="X4" s="5"/>
    </row>
    <row r="5">
      <c r="A5" s="7" t="s">
        <v>27</v>
      </c>
      <c r="B5" s="8">
        <v>82000.0</v>
      </c>
      <c r="C5" s="8">
        <v>82000.0</v>
      </c>
      <c r="D5" s="8">
        <v>82000.0</v>
      </c>
      <c r="E5" s="8">
        <v>82000.0</v>
      </c>
      <c r="F5" s="8">
        <v>82000.0</v>
      </c>
      <c r="G5" s="8">
        <v>82000.0</v>
      </c>
      <c r="H5" s="8">
        <v>82000.0</v>
      </c>
      <c r="I5" s="8">
        <v>82000.0</v>
      </c>
      <c r="J5" s="8">
        <v>82000.0</v>
      </c>
      <c r="K5" s="8">
        <v>82000.0</v>
      </c>
      <c r="L5" s="8">
        <v>82000.0</v>
      </c>
      <c r="M5" s="8">
        <v>82000.0</v>
      </c>
      <c r="N5" s="8">
        <v>82000.0</v>
      </c>
      <c r="O5" s="8">
        <v>82000.0</v>
      </c>
      <c r="P5" s="8">
        <v>82000.0</v>
      </c>
      <c r="Q5" s="8">
        <v>82000.0</v>
      </c>
      <c r="R5" s="8">
        <v>82000.0</v>
      </c>
      <c r="S5" s="8">
        <v>82000.0</v>
      </c>
      <c r="T5" s="8">
        <v>82000.0</v>
      </c>
      <c r="U5" s="8">
        <v>82000.0</v>
      </c>
      <c r="V5" s="8">
        <v>82000.0</v>
      </c>
      <c r="W5" s="8">
        <v>82000.0</v>
      </c>
      <c r="X5" s="8">
        <v>82000.0</v>
      </c>
      <c r="Y5" s="9"/>
    </row>
    <row r="6">
      <c r="A6" s="10" t="s">
        <v>28</v>
      </c>
      <c r="B6" s="10">
        <f t="shared" ref="B6:P6" si="6">B2/B5</f>
        <v>1.398396341</v>
      </c>
      <c r="C6" s="10">
        <f t="shared" si="6"/>
        <v>1.179446341</v>
      </c>
      <c r="D6" s="10">
        <f t="shared" si="6"/>
        <v>1.424804878</v>
      </c>
      <c r="E6" s="11">
        <f t="shared" si="6"/>
        <v>2.527545732</v>
      </c>
      <c r="F6" s="11">
        <f t="shared" si="6"/>
        <v>0.7041097561</v>
      </c>
      <c r="G6" s="11">
        <f t="shared" si="6"/>
        <v>1.278189512</v>
      </c>
      <c r="H6" s="11">
        <f t="shared" si="6"/>
        <v>1.677926829</v>
      </c>
      <c r="I6" s="11">
        <f t="shared" si="6"/>
        <v>1.42185439</v>
      </c>
      <c r="J6" s="11">
        <f t="shared" si="6"/>
        <v>0.5500368293</v>
      </c>
      <c r="K6" s="11">
        <f t="shared" si="6"/>
        <v>1.17288378</v>
      </c>
      <c r="L6" s="10">
        <f t="shared" si="6"/>
        <v>1.010514146</v>
      </c>
      <c r="M6" s="11">
        <f t="shared" si="6"/>
        <v>0.8377690244</v>
      </c>
      <c r="N6" s="11">
        <f t="shared" si="6"/>
        <v>1.526664878</v>
      </c>
      <c r="O6" s="11">
        <f t="shared" si="6"/>
        <v>0.5592195122</v>
      </c>
      <c r="P6" s="11">
        <f t="shared" si="6"/>
        <v>2.9575</v>
      </c>
      <c r="Q6" s="10">
        <v>0.0</v>
      </c>
      <c r="R6" s="11">
        <f>R2/R5</f>
        <v>2.685402439</v>
      </c>
      <c r="S6" s="10">
        <v>0.0</v>
      </c>
      <c r="T6" s="11"/>
      <c r="U6" s="10">
        <v>0.0</v>
      </c>
      <c r="V6" s="11">
        <f t="shared" ref="V6:W6" si="7">V2/V5</f>
        <v>1.191081951</v>
      </c>
      <c r="W6" s="11">
        <f t="shared" si="7"/>
        <v>0.5342915854</v>
      </c>
      <c r="X6" s="11"/>
      <c r="Y6" s="12"/>
    </row>
    <row r="7">
      <c r="A7" s="10" t="s">
        <v>29</v>
      </c>
      <c r="B7" s="10">
        <f>B4/B40</f>
        <v>0.4159052857</v>
      </c>
      <c r="C7" s="10">
        <f>C4/B40</f>
        <v>0.4435380286</v>
      </c>
      <c r="D7" s="10">
        <f>D4/B40</f>
        <v>0.4769191714</v>
      </c>
      <c r="E7" s="11">
        <f>E4/B40</f>
        <v>0.5361359571</v>
      </c>
      <c r="F7" s="11">
        <f>F4/B40</f>
        <v>0.5526322429</v>
      </c>
      <c r="G7" s="11">
        <f>G4/B40</f>
        <v>0.5825783971</v>
      </c>
      <c r="H7" s="11">
        <f>H4/B40</f>
        <v>0.6218898257</v>
      </c>
      <c r="I7" s="11">
        <f>I4/B40</f>
        <v>0.6552018429</v>
      </c>
      <c r="J7" s="11">
        <f>J4/B40</f>
        <v>0.66808842</v>
      </c>
      <c r="K7" s="11">
        <f>K4/B40</f>
        <v>0.6955674114</v>
      </c>
      <c r="L7" s="11">
        <f>L4/B40</f>
        <v>0.7192423143</v>
      </c>
      <c r="M7" s="11">
        <f>M4/B40</f>
        <v>0.7388700457</v>
      </c>
      <c r="N7" s="11">
        <f>N4/B40</f>
        <v>0.7746376229</v>
      </c>
      <c r="O7" s="11">
        <f>O4/B40</f>
        <v>0.7877393371</v>
      </c>
      <c r="P7" s="11">
        <f>P4/B40</f>
        <v>0.8570293371</v>
      </c>
      <c r="Q7" s="11">
        <f>P7</f>
        <v>0.8570293371</v>
      </c>
      <c r="R7" s="11">
        <f>R4/B40</f>
        <v>0.91994448</v>
      </c>
      <c r="S7" s="11">
        <f>R7</f>
        <v>0.91994448</v>
      </c>
      <c r="T7" s="11"/>
      <c r="U7" s="10">
        <v>0.0</v>
      </c>
      <c r="V7" s="11">
        <f>V4/B40</f>
        <v>0.9478498286</v>
      </c>
      <c r="W7" s="11">
        <f>W4/B40</f>
        <v>0.9603675171</v>
      </c>
      <c r="X7" s="11"/>
      <c r="Y7" s="12"/>
    </row>
    <row r="8">
      <c r="A8" s="2" t="s">
        <v>30</v>
      </c>
      <c r="B8" s="3">
        <v>29725.68</v>
      </c>
      <c r="C8" s="3">
        <v>161706.52</v>
      </c>
      <c r="D8" s="3">
        <v>14184.0</v>
      </c>
      <c r="E8" s="4">
        <v>187870.41</v>
      </c>
      <c r="F8" s="4">
        <v>238965.0</v>
      </c>
      <c r="G8" s="4"/>
      <c r="H8" s="4">
        <v>97205.67</v>
      </c>
      <c r="I8" s="4"/>
      <c r="J8" s="4">
        <v>237118.42</v>
      </c>
      <c r="K8" s="4">
        <v>6515.0</v>
      </c>
      <c r="L8" s="4">
        <v>105977.0</v>
      </c>
      <c r="M8" s="4">
        <v>23824.92</v>
      </c>
      <c r="N8" s="4">
        <v>46371.96</v>
      </c>
      <c r="O8" s="4">
        <v>56397.5</v>
      </c>
      <c r="P8" s="4">
        <v>668993.52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f>2121.6+17889.54+4813.56</f>
        <v>24824.7</v>
      </c>
      <c r="W8" s="4">
        <v>5849.0</v>
      </c>
      <c r="X8" s="4"/>
    </row>
    <row r="9">
      <c r="A9" s="2" t="s">
        <v>31</v>
      </c>
      <c r="B9" s="13">
        <v>4.0</v>
      </c>
      <c r="C9" s="13">
        <v>4.0</v>
      </c>
      <c r="D9" s="13">
        <v>1.0</v>
      </c>
      <c r="E9" s="2">
        <v>8.5</v>
      </c>
      <c r="F9" s="2">
        <v>7.32</v>
      </c>
      <c r="G9" s="14"/>
      <c r="H9" s="2">
        <v>4.0</v>
      </c>
      <c r="I9" s="14"/>
      <c r="J9" s="2">
        <v>11.5</v>
      </c>
      <c r="K9" s="2">
        <v>2.0</v>
      </c>
      <c r="L9" s="2">
        <v>13.0</v>
      </c>
      <c r="M9" s="2">
        <v>4.5</v>
      </c>
      <c r="N9" s="2">
        <v>3.0</v>
      </c>
      <c r="O9" s="2">
        <v>5.5</v>
      </c>
      <c r="P9" s="2">
        <v>15.0</v>
      </c>
      <c r="Q9" s="15">
        <f>SUM(B9:P9)</f>
        <v>83.32</v>
      </c>
      <c r="R9" s="2">
        <v>0.0</v>
      </c>
      <c r="S9" s="2">
        <v>0.0</v>
      </c>
      <c r="T9" s="2">
        <v>0.0</v>
      </c>
      <c r="U9" s="2">
        <v>0.0</v>
      </c>
      <c r="V9" s="2">
        <v>2.5</v>
      </c>
      <c r="W9" s="2">
        <v>1.0</v>
      </c>
      <c r="X9" s="14"/>
    </row>
    <row r="10">
      <c r="A10" s="16" t="s">
        <v>32</v>
      </c>
      <c r="B10" s="17">
        <v>5.0</v>
      </c>
      <c r="C10" s="17">
        <v>5.0</v>
      </c>
      <c r="D10" s="17">
        <v>5.0</v>
      </c>
      <c r="E10" s="17">
        <v>5.0</v>
      </c>
      <c r="F10" s="17">
        <v>5.0</v>
      </c>
      <c r="G10" s="17">
        <v>5.0</v>
      </c>
      <c r="H10" s="17">
        <v>5.0</v>
      </c>
      <c r="I10" s="17">
        <v>5.0</v>
      </c>
      <c r="J10" s="17">
        <v>5.0</v>
      </c>
      <c r="K10" s="17">
        <v>5.0</v>
      </c>
      <c r="L10" s="17">
        <v>5.0</v>
      </c>
      <c r="M10" s="17">
        <v>5.0</v>
      </c>
      <c r="N10" s="17">
        <v>5.0</v>
      </c>
      <c r="O10" s="17">
        <v>5.0</v>
      </c>
      <c r="P10" s="17">
        <v>5.0</v>
      </c>
      <c r="Q10" s="17">
        <v>5.0</v>
      </c>
      <c r="R10" s="17">
        <v>5.0</v>
      </c>
      <c r="S10" s="17">
        <v>5.0</v>
      </c>
      <c r="T10" s="17">
        <v>5.0</v>
      </c>
      <c r="U10" s="17">
        <v>5.0</v>
      </c>
      <c r="V10" s="17">
        <v>5.0</v>
      </c>
      <c r="W10" s="17">
        <v>5.0</v>
      </c>
      <c r="X10" s="17">
        <v>5.0</v>
      </c>
      <c r="Y10" s="18"/>
    </row>
    <row r="11">
      <c r="A11" s="2" t="s">
        <v>33</v>
      </c>
      <c r="B11" s="13">
        <v>6.0</v>
      </c>
      <c r="C11" s="13">
        <v>3.0</v>
      </c>
      <c r="D11" s="13">
        <v>6.0</v>
      </c>
      <c r="E11" s="2">
        <v>5.0</v>
      </c>
      <c r="F11" s="2">
        <v>6.0</v>
      </c>
      <c r="G11" s="2">
        <v>5.5</v>
      </c>
      <c r="H11" s="2">
        <v>7.0</v>
      </c>
      <c r="I11" s="2">
        <v>8.0</v>
      </c>
      <c r="J11" s="2">
        <v>6.0</v>
      </c>
      <c r="K11" s="2">
        <v>7.0</v>
      </c>
      <c r="L11" s="2">
        <v>6.5</v>
      </c>
      <c r="M11" s="2">
        <v>4.5</v>
      </c>
      <c r="N11" s="2">
        <v>11.5</v>
      </c>
      <c r="O11" s="2">
        <v>3.5</v>
      </c>
      <c r="P11" s="2">
        <v>14.0</v>
      </c>
      <c r="Q11" s="2">
        <v>0.0</v>
      </c>
      <c r="R11" s="2">
        <v>4.5</v>
      </c>
      <c r="S11" s="2">
        <v>0.0</v>
      </c>
      <c r="T11" s="14"/>
      <c r="U11" s="2">
        <v>0.0</v>
      </c>
      <c r="V11" s="2">
        <v>5.0</v>
      </c>
      <c r="W11" s="2">
        <v>2.0</v>
      </c>
      <c r="X11" s="14"/>
    </row>
    <row r="12">
      <c r="A12" s="2" t="s">
        <v>34</v>
      </c>
      <c r="B12" s="13">
        <v>14.0</v>
      </c>
      <c r="C12" s="13">
        <v>17.0</v>
      </c>
      <c r="D12" s="13">
        <v>23.0</v>
      </c>
      <c r="E12" s="15">
        <f t="shared" ref="E12:H12" si="8">D12+E11</f>
        <v>28</v>
      </c>
      <c r="F12" s="15">
        <f t="shared" si="8"/>
        <v>34</v>
      </c>
      <c r="G12" s="15">
        <f t="shared" si="8"/>
        <v>39.5</v>
      </c>
      <c r="H12" s="15">
        <f t="shared" si="8"/>
        <v>46.5</v>
      </c>
      <c r="I12" s="14">
        <f>I11</f>
        <v>8</v>
      </c>
      <c r="J12" s="14">
        <f t="shared" ref="J12:M12" si="9">I12+J11</f>
        <v>14</v>
      </c>
      <c r="K12" s="14">
        <f t="shared" si="9"/>
        <v>21</v>
      </c>
      <c r="L12" s="14">
        <f t="shared" si="9"/>
        <v>27.5</v>
      </c>
      <c r="M12" s="14">
        <f t="shared" si="9"/>
        <v>32</v>
      </c>
      <c r="N12" s="14">
        <f>N11+M11</f>
        <v>16</v>
      </c>
      <c r="O12" s="14">
        <f t="shared" ref="O12:P12" si="10">N12+O11</f>
        <v>19.5</v>
      </c>
      <c r="P12" s="14">
        <f t="shared" si="10"/>
        <v>33.5</v>
      </c>
      <c r="Q12" s="2">
        <v>0.0</v>
      </c>
      <c r="R12" s="14">
        <f t="shared" ref="R12:S12" si="11">Q12+R11</f>
        <v>4.5</v>
      </c>
      <c r="S12" s="14">
        <f t="shared" si="11"/>
        <v>4.5</v>
      </c>
      <c r="T12" s="14"/>
      <c r="U12" s="2">
        <v>0.0</v>
      </c>
      <c r="V12" s="2">
        <v>5.0</v>
      </c>
      <c r="W12" s="14">
        <f>V12+W11</f>
        <v>7</v>
      </c>
      <c r="X12" s="14"/>
    </row>
    <row r="13">
      <c r="A13" s="2" t="s">
        <v>35</v>
      </c>
      <c r="B13" s="13">
        <f>92+B11</f>
        <v>98</v>
      </c>
      <c r="C13" s="13">
        <f>92+B11+C11</f>
        <v>101</v>
      </c>
      <c r="D13" s="13">
        <f>92+B11+C11+D11</f>
        <v>107</v>
      </c>
      <c r="E13" s="15">
        <f t="shared" ref="E13:X13" si="12">D13+E11</f>
        <v>112</v>
      </c>
      <c r="F13" s="15">
        <f t="shared" si="12"/>
        <v>118</v>
      </c>
      <c r="G13" s="15">
        <f t="shared" si="12"/>
        <v>123.5</v>
      </c>
      <c r="H13" s="15">
        <f t="shared" si="12"/>
        <v>130.5</v>
      </c>
      <c r="I13" s="15">
        <f t="shared" si="12"/>
        <v>138.5</v>
      </c>
      <c r="J13" s="15">
        <f t="shared" si="12"/>
        <v>144.5</v>
      </c>
      <c r="K13" s="15">
        <f t="shared" si="12"/>
        <v>151.5</v>
      </c>
      <c r="L13" s="15">
        <f t="shared" si="12"/>
        <v>158</v>
      </c>
      <c r="M13" s="15">
        <f t="shared" si="12"/>
        <v>162.5</v>
      </c>
      <c r="N13" s="15">
        <f t="shared" si="12"/>
        <v>174</v>
      </c>
      <c r="O13" s="15">
        <f t="shared" si="12"/>
        <v>177.5</v>
      </c>
      <c r="P13" s="15">
        <f t="shared" si="12"/>
        <v>191.5</v>
      </c>
      <c r="Q13" s="15">
        <f t="shared" si="12"/>
        <v>191.5</v>
      </c>
      <c r="R13" s="15">
        <f t="shared" si="12"/>
        <v>196</v>
      </c>
      <c r="S13" s="15">
        <f t="shared" si="12"/>
        <v>196</v>
      </c>
      <c r="T13" s="15">
        <f t="shared" si="12"/>
        <v>196</v>
      </c>
      <c r="U13" s="15">
        <f t="shared" si="12"/>
        <v>196</v>
      </c>
      <c r="V13" s="15">
        <f t="shared" si="12"/>
        <v>201</v>
      </c>
      <c r="W13" s="15">
        <f t="shared" si="12"/>
        <v>203</v>
      </c>
      <c r="X13" s="15">
        <f t="shared" si="12"/>
        <v>203</v>
      </c>
    </row>
    <row r="14">
      <c r="A14" s="19" t="s">
        <v>36</v>
      </c>
      <c r="B14" s="20">
        <f t="shared" ref="B14:X14" si="13">B11/B10</f>
        <v>1.2</v>
      </c>
      <c r="C14" s="20">
        <f t="shared" si="13"/>
        <v>0.6</v>
      </c>
      <c r="D14" s="20">
        <f t="shared" si="13"/>
        <v>1.2</v>
      </c>
      <c r="E14" s="20">
        <f t="shared" si="13"/>
        <v>1</v>
      </c>
      <c r="F14" s="20">
        <f t="shared" si="13"/>
        <v>1.2</v>
      </c>
      <c r="G14" s="20">
        <f t="shared" si="13"/>
        <v>1.1</v>
      </c>
      <c r="H14" s="20">
        <f t="shared" si="13"/>
        <v>1.4</v>
      </c>
      <c r="I14" s="20">
        <f t="shared" si="13"/>
        <v>1.6</v>
      </c>
      <c r="J14" s="20">
        <f t="shared" si="13"/>
        <v>1.2</v>
      </c>
      <c r="K14" s="20">
        <f t="shared" si="13"/>
        <v>1.4</v>
      </c>
      <c r="L14" s="20">
        <f t="shared" si="13"/>
        <v>1.3</v>
      </c>
      <c r="M14" s="20">
        <f t="shared" si="13"/>
        <v>0.9</v>
      </c>
      <c r="N14" s="20">
        <f t="shared" si="13"/>
        <v>2.3</v>
      </c>
      <c r="O14" s="20">
        <f t="shared" si="13"/>
        <v>0.7</v>
      </c>
      <c r="P14" s="20">
        <f t="shared" si="13"/>
        <v>2.8</v>
      </c>
      <c r="Q14" s="20">
        <f t="shared" si="13"/>
        <v>0</v>
      </c>
      <c r="R14" s="20">
        <f t="shared" si="13"/>
        <v>0.9</v>
      </c>
      <c r="S14" s="20">
        <f t="shared" si="13"/>
        <v>0</v>
      </c>
      <c r="T14" s="20">
        <f t="shared" si="13"/>
        <v>0</v>
      </c>
      <c r="U14" s="20">
        <f t="shared" si="13"/>
        <v>0</v>
      </c>
      <c r="V14" s="20">
        <f t="shared" si="13"/>
        <v>1</v>
      </c>
      <c r="W14" s="20">
        <f t="shared" si="13"/>
        <v>0.4</v>
      </c>
      <c r="X14" s="20">
        <f t="shared" si="13"/>
        <v>0</v>
      </c>
      <c r="Y14" s="21"/>
    </row>
    <row r="15">
      <c r="A15" s="22" t="s">
        <v>37</v>
      </c>
      <c r="B15" s="23">
        <f t="shared" ref="B15:X15" si="14">(B13)/$B$41</f>
        <v>0.49</v>
      </c>
      <c r="C15" s="23">
        <f t="shared" si="14"/>
        <v>0.505</v>
      </c>
      <c r="D15" s="23">
        <f t="shared" si="14"/>
        <v>0.535</v>
      </c>
      <c r="E15" s="23">
        <f t="shared" si="14"/>
        <v>0.56</v>
      </c>
      <c r="F15" s="23">
        <f t="shared" si="14"/>
        <v>0.59</v>
      </c>
      <c r="G15" s="23">
        <f t="shared" si="14"/>
        <v>0.6175</v>
      </c>
      <c r="H15" s="23">
        <f t="shared" si="14"/>
        <v>0.6525</v>
      </c>
      <c r="I15" s="23">
        <f t="shared" si="14"/>
        <v>0.6925</v>
      </c>
      <c r="J15" s="23">
        <f t="shared" si="14"/>
        <v>0.7225</v>
      </c>
      <c r="K15" s="23">
        <f t="shared" si="14"/>
        <v>0.7575</v>
      </c>
      <c r="L15" s="23">
        <f t="shared" si="14"/>
        <v>0.79</v>
      </c>
      <c r="M15" s="23">
        <f t="shared" si="14"/>
        <v>0.8125</v>
      </c>
      <c r="N15" s="23">
        <f t="shared" si="14"/>
        <v>0.87</v>
      </c>
      <c r="O15" s="23">
        <f t="shared" si="14"/>
        <v>0.8875</v>
      </c>
      <c r="P15" s="23">
        <f t="shared" si="14"/>
        <v>0.9575</v>
      </c>
      <c r="Q15" s="23">
        <f t="shared" si="14"/>
        <v>0.9575</v>
      </c>
      <c r="R15" s="23">
        <f t="shared" si="14"/>
        <v>0.98</v>
      </c>
      <c r="S15" s="23">
        <f t="shared" si="14"/>
        <v>0.98</v>
      </c>
      <c r="T15" s="23">
        <f t="shared" si="14"/>
        <v>0.98</v>
      </c>
      <c r="U15" s="23">
        <f t="shared" si="14"/>
        <v>0.98</v>
      </c>
      <c r="V15" s="23">
        <f t="shared" si="14"/>
        <v>1.005</v>
      </c>
      <c r="W15" s="23">
        <f t="shared" si="14"/>
        <v>1.015</v>
      </c>
      <c r="X15" s="23">
        <f t="shared" si="14"/>
        <v>1.015</v>
      </c>
      <c r="Y15" s="21"/>
    </row>
    <row r="16">
      <c r="A16" s="7" t="s">
        <v>38</v>
      </c>
      <c r="B16" s="24">
        <v>8.0</v>
      </c>
      <c r="C16" s="24">
        <v>8.0</v>
      </c>
      <c r="D16" s="24">
        <v>8.0</v>
      </c>
      <c r="E16" s="24">
        <v>8.0</v>
      </c>
      <c r="F16" s="24">
        <v>8.0</v>
      </c>
      <c r="G16" s="24">
        <v>8.0</v>
      </c>
      <c r="H16" s="24">
        <v>8.0</v>
      </c>
      <c r="I16" s="24">
        <v>8.0</v>
      </c>
      <c r="J16" s="24">
        <v>8.0</v>
      </c>
      <c r="K16" s="24">
        <v>8.0</v>
      </c>
      <c r="L16" s="24">
        <v>8.0</v>
      </c>
      <c r="M16" s="24">
        <v>8.0</v>
      </c>
      <c r="N16" s="24">
        <v>8.0</v>
      </c>
      <c r="O16" s="24">
        <v>8.0</v>
      </c>
      <c r="P16" s="24">
        <v>8.0</v>
      </c>
      <c r="Q16" s="24">
        <v>8.0</v>
      </c>
      <c r="R16" s="24">
        <v>8.0</v>
      </c>
      <c r="S16" s="24">
        <v>8.0</v>
      </c>
      <c r="T16" s="24">
        <v>8.0</v>
      </c>
      <c r="U16" s="24">
        <v>8.0</v>
      </c>
      <c r="V16" s="24">
        <v>8.0</v>
      </c>
      <c r="W16" s="24">
        <v>8.0</v>
      </c>
      <c r="X16" s="24">
        <v>8.0</v>
      </c>
      <c r="Y16" s="9"/>
    </row>
    <row r="17">
      <c r="A17" s="2" t="s">
        <v>39</v>
      </c>
      <c r="B17" s="13">
        <v>5.0</v>
      </c>
      <c r="C17" s="13">
        <v>2.0</v>
      </c>
      <c r="D17" s="13">
        <v>9.0</v>
      </c>
      <c r="E17" s="2">
        <v>9.0</v>
      </c>
      <c r="F17" s="2">
        <v>9.0</v>
      </c>
      <c r="G17" s="2">
        <v>12.0</v>
      </c>
      <c r="H17" s="2">
        <v>5.0</v>
      </c>
      <c r="I17" s="2">
        <v>9.0</v>
      </c>
      <c r="J17" s="2">
        <v>7.0</v>
      </c>
      <c r="K17" s="2">
        <v>7.0</v>
      </c>
      <c r="L17" s="2">
        <v>21.0</v>
      </c>
      <c r="M17" s="2">
        <v>7.0</v>
      </c>
      <c r="N17" s="2">
        <v>5.0</v>
      </c>
      <c r="O17" s="2">
        <v>3.0</v>
      </c>
      <c r="P17" s="2">
        <v>5.0</v>
      </c>
      <c r="Q17" s="2">
        <v>2.0</v>
      </c>
      <c r="R17" s="2">
        <v>2.0</v>
      </c>
      <c r="S17" s="2">
        <v>0.0</v>
      </c>
      <c r="T17" s="2">
        <v>0.0</v>
      </c>
      <c r="U17" s="2">
        <v>1.0</v>
      </c>
      <c r="V17" s="2">
        <v>5.0</v>
      </c>
      <c r="W17" s="2">
        <v>5.0</v>
      </c>
      <c r="X17" s="14"/>
    </row>
    <row r="18">
      <c r="A18" s="2" t="s">
        <v>40</v>
      </c>
      <c r="B18" s="13">
        <v>4.0</v>
      </c>
      <c r="C18" s="13">
        <v>2.0</v>
      </c>
      <c r="D18" s="13">
        <v>9.0</v>
      </c>
      <c r="E18" s="2">
        <v>8.0</v>
      </c>
      <c r="F18" s="2">
        <v>4.0</v>
      </c>
      <c r="G18" s="2">
        <v>7.0</v>
      </c>
      <c r="H18" s="2">
        <v>0.0</v>
      </c>
      <c r="I18" s="2">
        <v>6.0</v>
      </c>
      <c r="J18" s="2">
        <v>5.0</v>
      </c>
      <c r="K18" s="2">
        <v>7.0</v>
      </c>
      <c r="L18" s="2">
        <v>11.0</v>
      </c>
      <c r="M18" s="2">
        <v>4.0</v>
      </c>
      <c r="N18" s="2">
        <v>5.0</v>
      </c>
      <c r="O18" s="2">
        <v>3.0</v>
      </c>
      <c r="P18" s="2">
        <v>4.0</v>
      </c>
      <c r="Q18" s="2">
        <v>2.0</v>
      </c>
      <c r="R18" s="2">
        <v>2.0</v>
      </c>
      <c r="S18" s="2">
        <v>5.0</v>
      </c>
      <c r="T18" s="2">
        <v>0.0</v>
      </c>
      <c r="U18" s="2">
        <v>1.0</v>
      </c>
      <c r="V18" s="2">
        <v>5.0</v>
      </c>
      <c r="W18" s="2">
        <v>5.0</v>
      </c>
      <c r="X18" s="14"/>
    </row>
    <row r="19">
      <c r="A19" s="7" t="s">
        <v>41</v>
      </c>
      <c r="B19" s="24">
        <v>20.0</v>
      </c>
      <c r="C19" s="24">
        <v>20.0</v>
      </c>
      <c r="D19" s="24">
        <v>20.0</v>
      </c>
      <c r="E19" s="7">
        <v>20.0</v>
      </c>
      <c r="F19" s="7">
        <v>20.0</v>
      </c>
      <c r="G19" s="7">
        <v>20.0</v>
      </c>
      <c r="H19" s="7">
        <v>20.0</v>
      </c>
      <c r="I19" s="7">
        <v>20.0</v>
      </c>
      <c r="J19" s="7">
        <v>20.0</v>
      </c>
      <c r="K19" s="7">
        <v>20.0</v>
      </c>
      <c r="L19" s="7">
        <v>20.0</v>
      </c>
      <c r="M19" s="7">
        <v>20.0</v>
      </c>
      <c r="N19" s="7">
        <v>20.0</v>
      </c>
      <c r="O19" s="7">
        <v>20.0</v>
      </c>
      <c r="P19" s="7">
        <v>20.0</v>
      </c>
      <c r="Q19" s="7">
        <v>20.0</v>
      </c>
      <c r="R19" s="7">
        <v>20.0</v>
      </c>
      <c r="S19" s="7">
        <v>20.0</v>
      </c>
      <c r="T19" s="7">
        <v>20.0</v>
      </c>
      <c r="U19" s="7">
        <v>20.0</v>
      </c>
      <c r="V19" s="7">
        <v>20.0</v>
      </c>
      <c r="W19" s="7">
        <v>20.0</v>
      </c>
      <c r="X19" s="7">
        <v>20.0</v>
      </c>
      <c r="Y19" s="9"/>
    </row>
    <row r="20">
      <c r="A20" s="2" t="s">
        <v>42</v>
      </c>
      <c r="B20" s="13">
        <v>28.0</v>
      </c>
      <c r="C20" s="13">
        <v>16.0</v>
      </c>
      <c r="D20" s="13">
        <v>20.0</v>
      </c>
      <c r="E20" s="2">
        <v>35.0</v>
      </c>
      <c r="F20" s="2">
        <v>17.0</v>
      </c>
      <c r="G20" s="2">
        <v>7.0</v>
      </c>
      <c r="H20" s="2">
        <v>25.0</v>
      </c>
      <c r="I20" s="2">
        <v>2.0</v>
      </c>
      <c r="J20" s="2">
        <v>4.0</v>
      </c>
      <c r="K20" s="2">
        <v>9.0</v>
      </c>
      <c r="L20" s="2">
        <v>15.0</v>
      </c>
      <c r="M20" s="2">
        <v>5.0</v>
      </c>
      <c r="N20" s="2">
        <v>30.0</v>
      </c>
      <c r="O20" s="2">
        <v>2.0</v>
      </c>
      <c r="P20" s="2">
        <v>5.0</v>
      </c>
      <c r="Q20" s="2">
        <v>2.0</v>
      </c>
      <c r="R20" s="2">
        <v>15.0</v>
      </c>
      <c r="S20" s="2">
        <v>0.0</v>
      </c>
      <c r="T20" s="2">
        <v>0.0</v>
      </c>
      <c r="U20" s="2">
        <v>15.0</v>
      </c>
      <c r="V20" s="14"/>
      <c r="W20" s="2">
        <v>3.0</v>
      </c>
      <c r="X20" s="14"/>
    </row>
    <row r="21">
      <c r="A21" s="7" t="s">
        <v>43</v>
      </c>
      <c r="B21" s="24">
        <v>8.0</v>
      </c>
      <c r="C21" s="24">
        <v>8.0</v>
      </c>
      <c r="D21" s="24">
        <v>8.0</v>
      </c>
      <c r="E21" s="7">
        <v>8.0</v>
      </c>
      <c r="F21" s="7">
        <v>8.0</v>
      </c>
      <c r="G21" s="7">
        <v>8.0</v>
      </c>
      <c r="H21" s="7">
        <v>8.0</v>
      </c>
      <c r="I21" s="7">
        <v>8.0</v>
      </c>
      <c r="J21" s="7">
        <v>8.0</v>
      </c>
      <c r="K21" s="7">
        <v>8.0</v>
      </c>
      <c r="L21" s="7">
        <v>8.0</v>
      </c>
      <c r="M21" s="7">
        <v>8.0</v>
      </c>
      <c r="N21" s="7">
        <v>8.0</v>
      </c>
      <c r="O21" s="7">
        <v>8.0</v>
      </c>
      <c r="P21" s="7">
        <v>8.0</v>
      </c>
      <c r="Q21" s="7">
        <v>8.0</v>
      </c>
      <c r="R21" s="7">
        <v>8.0</v>
      </c>
      <c r="S21" s="7">
        <v>8.0</v>
      </c>
      <c r="T21" s="7">
        <v>8.0</v>
      </c>
      <c r="U21" s="7">
        <v>8.0</v>
      </c>
      <c r="V21" s="7">
        <v>8.0</v>
      </c>
      <c r="W21" s="7">
        <v>8.0</v>
      </c>
      <c r="X21" s="7">
        <v>8.0</v>
      </c>
      <c r="Y21" s="9"/>
    </row>
    <row r="22">
      <c r="A22" s="2" t="s">
        <v>44</v>
      </c>
      <c r="B22" s="13">
        <v>2.0</v>
      </c>
      <c r="C22" s="13">
        <v>2.0</v>
      </c>
      <c r="D22" s="13">
        <v>4.0</v>
      </c>
      <c r="E22" s="2">
        <v>4.0</v>
      </c>
      <c r="F22" s="2">
        <v>6.0</v>
      </c>
      <c r="G22" s="2">
        <v>3.0</v>
      </c>
      <c r="H22" s="2">
        <v>2.0</v>
      </c>
      <c r="I22" s="2">
        <v>2.0</v>
      </c>
      <c r="J22" s="2">
        <v>3.0</v>
      </c>
      <c r="K22" s="2">
        <v>3.0</v>
      </c>
      <c r="L22" s="2">
        <v>6.0</v>
      </c>
      <c r="M22" s="2">
        <v>4.0</v>
      </c>
      <c r="N22" s="2">
        <v>1.0</v>
      </c>
      <c r="O22" s="2">
        <v>2.0</v>
      </c>
      <c r="P22" s="2">
        <v>3.0</v>
      </c>
      <c r="Q22" s="2">
        <v>0.0</v>
      </c>
      <c r="R22" s="2">
        <v>3.0</v>
      </c>
      <c r="S22" s="2">
        <v>1.0</v>
      </c>
      <c r="T22" s="2">
        <v>0.0</v>
      </c>
      <c r="U22" s="2">
        <v>3.0</v>
      </c>
      <c r="V22" s="2">
        <v>1.0</v>
      </c>
      <c r="W22" s="2">
        <v>1.0</v>
      </c>
      <c r="X22" s="14"/>
    </row>
    <row r="23">
      <c r="A23" s="2" t="s">
        <v>45</v>
      </c>
      <c r="B23" s="13">
        <v>2.0</v>
      </c>
      <c r="C23" s="13">
        <v>6.0</v>
      </c>
      <c r="D23" s="13">
        <v>0.0</v>
      </c>
      <c r="E23" s="2">
        <v>2.0</v>
      </c>
      <c r="F23" s="2">
        <v>2.0</v>
      </c>
      <c r="G23" s="2">
        <v>4.0</v>
      </c>
      <c r="H23" s="2">
        <v>3.0</v>
      </c>
      <c r="I23" s="2">
        <v>3.0</v>
      </c>
      <c r="J23" s="2">
        <v>1.0</v>
      </c>
      <c r="K23" s="2">
        <v>1.0</v>
      </c>
      <c r="L23" s="2">
        <v>2.0</v>
      </c>
      <c r="M23" s="2">
        <v>2.0</v>
      </c>
      <c r="N23" s="2">
        <v>3.0</v>
      </c>
      <c r="O23" s="2">
        <v>1.0</v>
      </c>
      <c r="P23" s="2">
        <v>2.0</v>
      </c>
      <c r="Q23" s="2">
        <v>0.0</v>
      </c>
      <c r="R23" s="2">
        <v>3.0</v>
      </c>
      <c r="S23" s="2">
        <v>0.0</v>
      </c>
      <c r="T23" s="2">
        <v>0.0</v>
      </c>
      <c r="U23" s="2">
        <v>5.0</v>
      </c>
      <c r="V23" s="2">
        <v>1.0</v>
      </c>
      <c r="W23" s="2">
        <v>1.0</v>
      </c>
      <c r="X23" s="14"/>
    </row>
    <row r="24">
      <c r="A24" s="2" t="s">
        <v>46</v>
      </c>
      <c r="B24" s="13">
        <v>91.0</v>
      </c>
      <c r="C24" s="13">
        <v>134.0</v>
      </c>
      <c r="D24" s="13">
        <v>105.0</v>
      </c>
      <c r="E24" s="2">
        <v>76.0</v>
      </c>
      <c r="F24" s="2">
        <v>78.0</v>
      </c>
      <c r="G24" s="2">
        <v>102.0</v>
      </c>
      <c r="H24" s="2">
        <v>87.0</v>
      </c>
      <c r="I24" s="2">
        <v>76.0</v>
      </c>
      <c r="J24" s="2">
        <v>80.0</v>
      </c>
      <c r="K24" s="2">
        <v>95.0</v>
      </c>
      <c r="L24" s="2">
        <v>83.0</v>
      </c>
      <c r="M24" s="2">
        <v>66.0</v>
      </c>
      <c r="N24" s="2">
        <v>78.0</v>
      </c>
      <c r="O24" s="2">
        <v>70.0</v>
      </c>
      <c r="P24" s="2">
        <v>107.0</v>
      </c>
      <c r="Q24" s="2">
        <v>82.0</v>
      </c>
      <c r="R24" s="2">
        <v>101.0</v>
      </c>
      <c r="S24" s="2">
        <v>79.0</v>
      </c>
      <c r="T24" s="2">
        <v>135.0</v>
      </c>
      <c r="U24" s="2">
        <v>135.0</v>
      </c>
      <c r="V24" s="2">
        <v>105.0</v>
      </c>
      <c r="W24" s="2">
        <v>64.0</v>
      </c>
      <c r="X24" s="14"/>
    </row>
    <row r="25">
      <c r="A25" s="2" t="s">
        <v>47</v>
      </c>
      <c r="B25" s="3">
        <v>110510.53</v>
      </c>
      <c r="C25" s="3">
        <v>213746.82</v>
      </c>
      <c r="D25" s="3">
        <v>208662.04</v>
      </c>
      <c r="E25" s="4">
        <v>194196.73</v>
      </c>
      <c r="F25" s="4">
        <v>93988.5</v>
      </c>
      <c r="G25" s="4">
        <v>116216.13</v>
      </c>
      <c r="H25" s="4">
        <v>117771.0</v>
      </c>
      <c r="I25" s="4">
        <v>74888.77</v>
      </c>
      <c r="J25" s="4">
        <v>84015.92</v>
      </c>
      <c r="K25" s="4">
        <v>98689.63</v>
      </c>
      <c r="L25" s="4">
        <v>143497.52</v>
      </c>
      <c r="M25" s="4">
        <v>126575.27</v>
      </c>
      <c r="N25" s="4">
        <v>132881.7</v>
      </c>
      <c r="O25" s="4">
        <v>125654.4</v>
      </c>
      <c r="P25" s="4">
        <v>194409.27</v>
      </c>
      <c r="Q25" s="4">
        <v>153407.49</v>
      </c>
      <c r="R25" s="4">
        <v>141400.12</v>
      </c>
      <c r="S25" s="5">
        <f t="shared" ref="S25:T25" si="15">R25</f>
        <v>141400.12</v>
      </c>
      <c r="T25" s="5">
        <f t="shared" si="15"/>
        <v>141400.12</v>
      </c>
      <c r="U25" s="4">
        <v>95762.32</v>
      </c>
      <c r="V25" s="4">
        <v>158287.59</v>
      </c>
      <c r="W25" s="4">
        <v>79675.52</v>
      </c>
      <c r="X25" s="5"/>
    </row>
    <row r="26">
      <c r="A26" s="2" t="s">
        <v>48</v>
      </c>
      <c r="B26" s="10">
        <f t="shared" ref="B26:C26" si="16">B24/B43</f>
        <v>0.05508474576</v>
      </c>
      <c r="C26" s="10">
        <f t="shared" si="16"/>
        <v>0.08111380145</v>
      </c>
      <c r="D26" s="10">
        <f>D24/C43</f>
        <v>0.06355932203</v>
      </c>
      <c r="E26" s="10">
        <f>E24/E43</f>
        <v>0.04545454545</v>
      </c>
      <c r="F26" s="10">
        <v>0.0463</v>
      </c>
      <c r="G26" s="10">
        <v>0.0606</v>
      </c>
      <c r="H26" s="10">
        <v>0.0516</v>
      </c>
      <c r="I26" s="10">
        <v>0.045</v>
      </c>
      <c r="J26" s="10">
        <v>0.0415</v>
      </c>
      <c r="K26" s="10">
        <v>0.05598</v>
      </c>
      <c r="L26" s="2">
        <v>4.86</v>
      </c>
      <c r="M26" s="2">
        <v>3.85</v>
      </c>
      <c r="N26" s="2">
        <v>4.54</v>
      </c>
      <c r="O26" s="2">
        <v>3.17</v>
      </c>
      <c r="P26" s="2">
        <v>6.17</v>
      </c>
      <c r="Q26" s="2">
        <v>4.72</v>
      </c>
      <c r="R26" s="11">
        <f>R24/R43</f>
        <v>0.05814622913</v>
      </c>
      <c r="S26" s="2">
        <v>4.55</v>
      </c>
      <c r="T26" s="2">
        <v>4.55</v>
      </c>
      <c r="U26" s="2">
        <v>5.19</v>
      </c>
      <c r="V26" s="2">
        <v>5.99</v>
      </c>
      <c r="W26" s="2">
        <v>10.47</v>
      </c>
      <c r="X26" s="14"/>
    </row>
    <row r="27">
      <c r="A27" s="2" t="s">
        <v>49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"/>
      <c r="M27" s="2">
        <v>2.72</v>
      </c>
      <c r="N27" s="2">
        <v>2.36</v>
      </c>
      <c r="O27" s="2">
        <v>3.17</v>
      </c>
      <c r="P27" s="2">
        <v>5.3</v>
      </c>
      <c r="Q27" s="2">
        <v>4.33</v>
      </c>
      <c r="R27" s="2">
        <v>5.38</v>
      </c>
      <c r="S27" s="2">
        <v>4.11</v>
      </c>
      <c r="T27" s="2">
        <v>4.11</v>
      </c>
      <c r="U27" s="2">
        <v>4.87</v>
      </c>
      <c r="V27" s="2">
        <v>5.66</v>
      </c>
      <c r="W27" s="2">
        <v>10.11</v>
      </c>
      <c r="X27" s="14"/>
    </row>
    <row r="28">
      <c r="A28" s="7" t="s">
        <v>50</v>
      </c>
      <c r="B28" s="24">
        <v>5.0</v>
      </c>
      <c r="C28" s="24">
        <v>5.0</v>
      </c>
      <c r="D28" s="24">
        <v>5.0</v>
      </c>
      <c r="E28" s="24">
        <v>5.0</v>
      </c>
      <c r="F28" s="24">
        <v>5.0</v>
      </c>
      <c r="G28" s="24">
        <v>5.0</v>
      </c>
      <c r="H28" s="24">
        <v>5.0</v>
      </c>
      <c r="I28" s="24">
        <v>5.0</v>
      </c>
      <c r="J28" s="24">
        <v>5.0</v>
      </c>
      <c r="K28" s="24">
        <v>5.0</v>
      </c>
      <c r="L28" s="24">
        <v>5.0</v>
      </c>
      <c r="M28" s="24">
        <v>5.0</v>
      </c>
      <c r="N28" s="24">
        <v>5.0</v>
      </c>
      <c r="O28" s="24">
        <v>5.0</v>
      </c>
      <c r="P28" s="24">
        <v>5.0</v>
      </c>
      <c r="Q28" s="24">
        <v>5.0</v>
      </c>
      <c r="R28" s="24">
        <v>5.0</v>
      </c>
      <c r="S28" s="24">
        <v>5.0</v>
      </c>
      <c r="T28" s="24">
        <v>5.0</v>
      </c>
      <c r="U28" s="24">
        <v>5.0</v>
      </c>
      <c r="V28" s="24">
        <v>5.0</v>
      </c>
      <c r="W28" s="24">
        <v>5.0</v>
      </c>
      <c r="X28" s="24">
        <v>5.0</v>
      </c>
      <c r="Y28" s="9"/>
    </row>
    <row r="29">
      <c r="A29" s="2" t="s">
        <v>51</v>
      </c>
      <c r="B29" s="13">
        <v>11.0</v>
      </c>
      <c r="C29" s="13">
        <v>3.0</v>
      </c>
      <c r="D29" s="13">
        <v>3.0</v>
      </c>
      <c r="E29" s="2">
        <v>3.0</v>
      </c>
      <c r="F29" s="2">
        <v>2.0</v>
      </c>
      <c r="G29" s="2">
        <v>3.0</v>
      </c>
      <c r="H29" s="2">
        <v>6.0</v>
      </c>
      <c r="I29" s="2">
        <v>12.0</v>
      </c>
      <c r="J29" s="2">
        <v>17.0</v>
      </c>
      <c r="K29" s="2">
        <v>7.0</v>
      </c>
      <c r="L29" s="2">
        <v>5.0</v>
      </c>
      <c r="M29" s="2">
        <v>3.0</v>
      </c>
      <c r="N29" s="2">
        <v>10.0</v>
      </c>
      <c r="O29" s="2">
        <v>8.0</v>
      </c>
      <c r="P29" s="2">
        <v>11.0</v>
      </c>
      <c r="Q29" s="2">
        <v>0.0</v>
      </c>
      <c r="R29" s="2">
        <v>9.0</v>
      </c>
      <c r="S29" s="2">
        <v>7.0</v>
      </c>
      <c r="T29" s="2">
        <v>0.0</v>
      </c>
      <c r="U29" s="2">
        <v>2.0</v>
      </c>
      <c r="V29" s="2">
        <v>6.0</v>
      </c>
      <c r="W29" s="2">
        <v>6.0</v>
      </c>
      <c r="X29" s="14"/>
    </row>
    <row r="30">
      <c r="A30" s="2" t="s">
        <v>52</v>
      </c>
      <c r="B30" s="13">
        <v>9.0</v>
      </c>
      <c r="C30" s="13">
        <v>3.0</v>
      </c>
      <c r="D30" s="13">
        <v>3.0</v>
      </c>
      <c r="E30" s="2">
        <v>2.0</v>
      </c>
      <c r="F30" s="2">
        <v>2.0</v>
      </c>
      <c r="G30" s="2">
        <v>3.0</v>
      </c>
      <c r="H30" s="2">
        <v>5.0</v>
      </c>
      <c r="I30" s="2">
        <v>11.0</v>
      </c>
      <c r="J30" s="2">
        <v>15.0</v>
      </c>
      <c r="K30" s="2">
        <v>7.0</v>
      </c>
      <c r="L30" s="2">
        <v>1.0</v>
      </c>
      <c r="M30" s="2">
        <v>3.0</v>
      </c>
      <c r="N30" s="2">
        <v>11.0</v>
      </c>
      <c r="O30" s="2">
        <v>8.0</v>
      </c>
      <c r="P30" s="2">
        <v>9.0</v>
      </c>
      <c r="Q30" s="2">
        <v>0.0</v>
      </c>
      <c r="R30" s="2">
        <v>6.0</v>
      </c>
      <c r="S30" s="2">
        <v>6.0</v>
      </c>
      <c r="T30" s="2">
        <v>1.0</v>
      </c>
      <c r="U30" s="2">
        <v>2.0</v>
      </c>
      <c r="V30" s="2">
        <v>6.0</v>
      </c>
      <c r="W30" s="2">
        <v>6.0</v>
      </c>
      <c r="X30" s="14"/>
    </row>
    <row r="31" hidden="1">
      <c r="A31" s="2" t="s">
        <v>53</v>
      </c>
      <c r="B31" s="13"/>
      <c r="C31" s="13"/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idden="1">
      <c r="A32" s="2" t="s">
        <v>54</v>
      </c>
      <c r="B32" s="13"/>
      <c r="C32" s="13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2" t="s">
        <v>55</v>
      </c>
      <c r="B33" s="2">
        <v>1.0</v>
      </c>
      <c r="C33" s="2">
        <v>0.0</v>
      </c>
      <c r="D33" s="2">
        <v>0.0</v>
      </c>
      <c r="E33" s="2">
        <v>1.0</v>
      </c>
      <c r="F33" s="2">
        <v>2.0</v>
      </c>
      <c r="G33" s="2">
        <v>5.0</v>
      </c>
      <c r="H33" s="2">
        <v>3.0</v>
      </c>
      <c r="I33" s="2">
        <v>1.0</v>
      </c>
      <c r="J33" s="2">
        <v>2.0</v>
      </c>
      <c r="K33" s="2">
        <v>2.0</v>
      </c>
      <c r="L33" s="2">
        <v>0.0</v>
      </c>
      <c r="M33" s="2">
        <v>3.0</v>
      </c>
      <c r="N33" s="2">
        <v>1.0</v>
      </c>
      <c r="O33" s="2">
        <v>3.0</v>
      </c>
      <c r="P33" s="2">
        <v>0.0</v>
      </c>
      <c r="Q33" s="2">
        <v>0.0</v>
      </c>
      <c r="R33" s="2">
        <v>5.0</v>
      </c>
      <c r="S33" s="2">
        <v>4.0</v>
      </c>
      <c r="T33" s="2">
        <v>0.0</v>
      </c>
      <c r="U33" s="2">
        <v>12.0</v>
      </c>
      <c r="V33" s="2">
        <v>2.0</v>
      </c>
      <c r="W33" s="2">
        <v>1.0</v>
      </c>
      <c r="X33" s="14"/>
    </row>
    <row r="34">
      <c r="A34" s="2" t="s">
        <v>56</v>
      </c>
      <c r="B34" s="13">
        <f t="shared" ref="B34:E34" si="17">B33+B30+B22+B23+B18</f>
        <v>18</v>
      </c>
      <c r="C34" s="13">
        <f t="shared" si="17"/>
        <v>13</v>
      </c>
      <c r="D34" s="13">
        <f t="shared" si="17"/>
        <v>16</v>
      </c>
      <c r="E34" s="25">
        <f t="shared" si="17"/>
        <v>17</v>
      </c>
      <c r="F34" s="2">
        <v>19.0</v>
      </c>
      <c r="G34" s="2">
        <v>22.0</v>
      </c>
      <c r="H34" s="14">
        <f t="shared" ref="H34:I34" si="18">H33+H30+H22+H23+H18</f>
        <v>13</v>
      </c>
      <c r="I34" s="14">
        <f t="shared" si="18"/>
        <v>23</v>
      </c>
      <c r="J34" s="2">
        <v>24.0</v>
      </c>
      <c r="K34" s="2">
        <v>20.0</v>
      </c>
      <c r="L34" s="2">
        <v>20.0</v>
      </c>
      <c r="M34" s="2">
        <v>16.0</v>
      </c>
      <c r="N34" s="2">
        <v>21.0</v>
      </c>
      <c r="O34" s="2">
        <v>17.0</v>
      </c>
      <c r="P34" s="2">
        <v>18.0</v>
      </c>
      <c r="Q34" s="2">
        <v>2.0</v>
      </c>
      <c r="R34" s="2">
        <v>16.0</v>
      </c>
      <c r="S34" s="14">
        <f t="shared" ref="S34:X34" si="19">S18+S22+S30+S33</f>
        <v>16</v>
      </c>
      <c r="T34" s="14">
        <f t="shared" si="19"/>
        <v>1</v>
      </c>
      <c r="U34" s="14">
        <f t="shared" si="19"/>
        <v>18</v>
      </c>
      <c r="V34" s="14">
        <f t="shared" si="19"/>
        <v>14</v>
      </c>
      <c r="W34" s="14">
        <f t="shared" si="19"/>
        <v>13</v>
      </c>
      <c r="X34" s="14">
        <f t="shared" si="19"/>
        <v>0</v>
      </c>
    </row>
    <row r="35">
      <c r="A35" s="2" t="s">
        <v>57</v>
      </c>
      <c r="B35" s="25"/>
      <c r="C35" s="25"/>
      <c r="D35" s="25"/>
      <c r="E35" s="25"/>
      <c r="F35" s="25"/>
      <c r="G35" s="14"/>
      <c r="H35" s="14"/>
      <c r="I35" s="2">
        <v>72.0</v>
      </c>
      <c r="J35" s="2">
        <v>70.0</v>
      </c>
      <c r="K35" s="2">
        <v>84.0</v>
      </c>
      <c r="L35" s="2">
        <v>66.0</v>
      </c>
      <c r="M35" s="2">
        <v>56.0</v>
      </c>
      <c r="N35" s="2">
        <v>64.0</v>
      </c>
      <c r="O35" s="2">
        <v>54.0</v>
      </c>
      <c r="P35" s="2">
        <v>93.0</v>
      </c>
      <c r="Q35" s="2">
        <v>75.0</v>
      </c>
      <c r="R35" s="2">
        <v>93.0</v>
      </c>
      <c r="S35" s="2">
        <v>71.0</v>
      </c>
      <c r="T35" s="2">
        <v>130.0</v>
      </c>
      <c r="U35" s="2">
        <v>130.0</v>
      </c>
      <c r="V35" s="2">
        <v>99.0</v>
      </c>
      <c r="W35" s="2">
        <v>176.0</v>
      </c>
      <c r="X35" s="14"/>
    </row>
    <row r="36">
      <c r="A36" s="2" t="s">
        <v>58</v>
      </c>
      <c r="B36" s="25"/>
      <c r="C36" s="25"/>
      <c r="D36" s="25"/>
      <c r="E36" s="25"/>
      <c r="F36" s="2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2">
        <v>2.0</v>
      </c>
      <c r="W36" s="2">
        <v>2.0</v>
      </c>
      <c r="X36" s="14"/>
    </row>
    <row r="37">
      <c r="A37" s="2" t="s">
        <v>59</v>
      </c>
      <c r="B37" s="25"/>
      <c r="C37" s="25"/>
      <c r="D37" s="25"/>
      <c r="E37" s="25"/>
      <c r="F37" s="2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2">
        <v>0.0</v>
      </c>
      <c r="W37" s="2">
        <v>0.0</v>
      </c>
      <c r="X37" s="14"/>
    </row>
    <row r="38">
      <c r="A38" s="2"/>
      <c r="B38" s="25"/>
      <c r="C38" s="25"/>
      <c r="D38" s="25"/>
      <c r="E38" s="25"/>
      <c r="F38" s="2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26" t="s">
        <v>60</v>
      </c>
      <c r="B39" s="27">
        <v>1341000.0</v>
      </c>
    </row>
    <row r="40">
      <c r="A40" s="28" t="s">
        <v>61</v>
      </c>
      <c r="B40" s="29">
        <v>3500000.0</v>
      </c>
    </row>
    <row r="41">
      <c r="A41" s="28" t="s">
        <v>62</v>
      </c>
      <c r="B41" s="30">
        <f>5*23+85</f>
        <v>200</v>
      </c>
    </row>
    <row r="42">
      <c r="A42" s="31" t="s">
        <v>63</v>
      </c>
      <c r="B42" s="32">
        <v>14500.0</v>
      </c>
    </row>
    <row r="43">
      <c r="A43" s="33" t="s">
        <v>64</v>
      </c>
      <c r="B43" s="33">
        <v>1652.0</v>
      </c>
      <c r="C43" s="33">
        <v>1652.0</v>
      </c>
      <c r="D43" s="33">
        <v>1663.0</v>
      </c>
      <c r="E43" s="33">
        <v>1672.0</v>
      </c>
      <c r="F43" s="33">
        <v>1683.0</v>
      </c>
      <c r="G43" s="33">
        <v>1683.0</v>
      </c>
      <c r="H43" s="33">
        <v>1686.0</v>
      </c>
      <c r="I43" s="33">
        <v>1688.0</v>
      </c>
      <c r="J43" s="33">
        <v>1695.0</v>
      </c>
      <c r="K43" s="33">
        <v>1697.0</v>
      </c>
      <c r="L43" s="33">
        <v>1706.0</v>
      </c>
      <c r="M43" s="33">
        <v>1711.0</v>
      </c>
      <c r="N43" s="33">
        <v>1718.0</v>
      </c>
      <c r="P43" s="33">
        <v>1734.0</v>
      </c>
      <c r="Q43" s="33">
        <v>1737.0</v>
      </c>
      <c r="R43" s="33">
        <v>1737.0</v>
      </c>
    </row>
    <row r="44">
      <c r="A44" s="2" t="s">
        <v>46</v>
      </c>
      <c r="B44" s="13">
        <v>91.0</v>
      </c>
      <c r="C44" s="13">
        <v>134.0</v>
      </c>
      <c r="D44" s="13">
        <v>105.0</v>
      </c>
      <c r="E44" s="2">
        <v>76.0</v>
      </c>
      <c r="F44" s="2">
        <v>78.0</v>
      </c>
      <c r="G44" s="2">
        <v>102.0</v>
      </c>
      <c r="H44" s="2">
        <v>87.0</v>
      </c>
      <c r="I44" s="2">
        <v>78.0</v>
      </c>
      <c r="J44" s="2">
        <v>80.0</v>
      </c>
      <c r="K44" s="2">
        <v>95.0</v>
      </c>
      <c r="L44" s="2">
        <v>83.0</v>
      </c>
      <c r="M44" s="2">
        <v>66.0</v>
      </c>
      <c r="N44" s="2">
        <v>78.0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7">
      <c r="T47" s="34">
        <f>(1544.88+2532.24+1484.3+1646.02+80.02+177.47+674.13)*12</f>
        <v>97668.72</v>
      </c>
    </row>
  </sheetData>
  <drawing r:id="rId1"/>
  <tableParts count="2">
    <tablePart r:id="rId4"/>
    <tablePart r:id="rId5"/>
  </tableParts>
</worksheet>
</file>